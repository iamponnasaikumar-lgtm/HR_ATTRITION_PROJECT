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6935" windowHeight="7620"/>
  </bookViews>
  <sheets>
    <sheet name="Dashboard" sheetId="1" r:id="rId1"/>
    <sheet name="Cleaned_Metrics" sheetId="2" r:id="rId2"/>
  </sheets>
  <calcPr calcId="145621"/>
</workbook>
</file>

<file path=xl/calcChain.xml><?xml version="1.0" encoding="utf-8"?>
<calcChain xmlns="http://schemas.openxmlformats.org/spreadsheetml/2006/main">
  <c r="C25" i="1" l="1"/>
  <c r="D25" i="1" s="1"/>
  <c r="B25" i="1"/>
  <c r="G12" i="1"/>
  <c r="H12" i="1" s="1"/>
  <c r="F12" i="1"/>
  <c r="D12" i="1"/>
  <c r="C12" i="1"/>
  <c r="B12" i="1"/>
</calcChain>
</file>

<file path=xl/sharedStrings.xml><?xml version="1.0" encoding="utf-8"?>
<sst xmlns="http://schemas.openxmlformats.org/spreadsheetml/2006/main" count="78" uniqueCount="50">
  <si>
    <t xml:space="preserve">  EMPLOYEE ATTRITION &amp; TURNOVER DASHBOARD</t>
  </si>
  <si>
    <t>TOTAL EMPLOYEES</t>
  </si>
  <si>
    <t>EMPLOYEES WHO LEFT</t>
  </si>
  <si>
    <t>ATTRITION RATE</t>
  </si>
  <si>
    <t>ESTIMATED ATTRITION COST</t>
  </si>
  <si>
    <t>Department Analysis</t>
  </si>
  <si>
    <t>Tenure &amp; Length of Service Analysis</t>
  </si>
  <si>
    <t>Department</t>
  </si>
  <si>
    <t>Headcount</t>
  </si>
  <si>
    <t>Left</t>
  </si>
  <si>
    <t>Attrition Rate</t>
  </si>
  <si>
    <t>Tenure Group</t>
  </si>
  <si>
    <t>Sales</t>
  </si>
  <si>
    <t>0-2 years</t>
  </si>
  <si>
    <t>Research &amp; Development</t>
  </si>
  <si>
    <t>2-5 years</t>
  </si>
  <si>
    <t>Human Resources</t>
  </si>
  <si>
    <t>5+ years</t>
  </si>
  <si>
    <t>Total / Overall</t>
  </si>
  <si>
    <t>Detailed Job Role Performance</t>
  </si>
  <si>
    <t>Compensation Insight</t>
  </si>
  <si>
    <t>Job Role</t>
  </si>
  <si>
    <t>Total Headcount</t>
  </si>
  <si>
    <t>Employees Who Left</t>
  </si>
  <si>
    <t>Role Attrition Rate</t>
  </si>
  <si>
    <t>Active Status</t>
  </si>
  <si>
    <t>Avg Monthly Income</t>
  </si>
  <si>
    <t>Sales Representative</t>
  </si>
  <si>
    <t>No (Stayed)</t>
  </si>
  <si>
    <t>Laboratory Technician</t>
  </si>
  <si>
    <t>Yes (Left)</t>
  </si>
  <si>
    <t>Sales Executive</t>
  </si>
  <si>
    <t>Research Scientist</t>
  </si>
  <si>
    <t>Variance Analysis:</t>
  </si>
  <si>
    <t>Leavers are paid ₹1,864.63 less on average than retained staff.</t>
  </si>
  <si>
    <t>Healthcare Representative</t>
  </si>
  <si>
    <t>Manufacturing Director</t>
  </si>
  <si>
    <t>Manager</t>
  </si>
  <si>
    <t>Research Director</t>
  </si>
  <si>
    <t>Total</t>
  </si>
  <si>
    <t>Total_Employees</t>
  </si>
  <si>
    <t>Employees_Who_Left</t>
  </si>
  <si>
    <t>Attrition_Rate_Percent</t>
  </si>
  <si>
    <t>JobRole</t>
  </si>
  <si>
    <t>TenureGroup</t>
  </si>
  <si>
    <t>Attrition</t>
  </si>
  <si>
    <t>Employee_Count</t>
  </si>
  <si>
    <t>Average_Monthly_Income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</si>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</sst>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₹#,##0"/>
    <numFmt numFmtId="165" formatCode="\₹#,##0.00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6"/>
      <color rgb="FF005A60"/>
      <name val="Arial"/>
      <family val="2"/>
    </font>
    <font>
      <sz val="9"/>
      <color rgb="FF555555"/>
      <name val="Arial"/>
      <family val="2"/>
    </font>
    <font>
      <b/>
      <sz val="12"/>
      <color rgb="FF005A60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5A60"/>
        <bgColor rgb="FF005A60"/>
      </patternFill>
    </fill>
    <fill>
      <patternFill patternType="solid">
        <fgColor rgb="FFE0F2F1"/>
        <bgColor rgb="FFE0F2F1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/>
    <xf numFmtId="3" fontId="7" fillId="0" borderId="1" xfId="0" applyNumberFormat="1" applyFont="1" applyBorder="1"/>
    <xf numFmtId="10" fontId="7" fillId="0" borderId="1" xfId="0" applyNumberFormat="1" applyFont="1" applyBorder="1"/>
    <xf numFmtId="165" fontId="6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3" fontId="6" fillId="4" borderId="1" xfId="0" applyNumberFormat="1" applyFont="1" applyFill="1" applyBorder="1" applyAlignment="1">
      <alignment horizontal="right" vertical="center"/>
    </xf>
    <xf numFmtId="10" fontId="6" fillId="4" borderId="1" xfId="0" applyNumberFormat="1" applyFont="1" applyFill="1" applyBorder="1" applyAlignment="1">
      <alignment horizontal="right" vertical="center"/>
    </xf>
    <xf numFmtId="0" fontId="7" fillId="0" borderId="0" xfId="0" applyFont="1"/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10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164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N15" sqref="N15"/>
    </sheetView>
  </sheetViews>
  <sheetFormatPr defaultRowHeight="15" x14ac:dyDescent="0.25"/>
  <cols>
    <col min="1" max="1" width="26" customWidth="1"/>
    <col min="2" max="2" width="18" customWidth="1"/>
    <col min="3" max="3" width="21" customWidth="1"/>
    <col min="4" max="5" width="16" customWidth="1"/>
    <col min="6" max="6" width="23" customWidth="1"/>
    <col min="7" max="7" width="15" customWidth="1"/>
    <col min="8" max="8" width="16" customWidth="1"/>
    <col min="9" max="9" width="13" customWidth="1"/>
  </cols>
  <sheetData>
    <row r="1" spans="1:9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9"/>
      <c r="B2" s="19"/>
      <c r="C2" s="19"/>
      <c r="D2" s="19"/>
      <c r="E2" s="19"/>
      <c r="F2" s="19"/>
      <c r="G2" s="19"/>
      <c r="H2" s="19"/>
      <c r="I2" s="19"/>
    </row>
    <row r="4" spans="1:9" x14ac:dyDescent="0.25">
      <c r="A4" s="14">
        <v>802</v>
      </c>
      <c r="B4" s="15"/>
      <c r="C4" s="14">
        <v>119</v>
      </c>
      <c r="D4" s="15"/>
      <c r="E4" s="16">
        <v>0.1484</v>
      </c>
      <c r="F4" s="15"/>
      <c r="G4" s="20">
        <v>171909</v>
      </c>
      <c r="H4" s="15"/>
      <c r="I4" s="15"/>
    </row>
    <row r="5" spans="1:9" x14ac:dyDescent="0.25">
      <c r="A5" s="17" t="s">
        <v>1</v>
      </c>
      <c r="B5" s="15"/>
      <c r="C5" s="17" t="s">
        <v>2</v>
      </c>
      <c r="D5" s="15"/>
      <c r="E5" s="17" t="s">
        <v>3</v>
      </c>
      <c r="F5" s="15"/>
      <c r="G5" s="17" t="s">
        <v>4</v>
      </c>
      <c r="H5" s="15"/>
      <c r="I5" s="15"/>
    </row>
    <row r="7" spans="1:9" ht="15.75" x14ac:dyDescent="0.25">
      <c r="A7" s="1" t="s">
        <v>5</v>
      </c>
      <c r="E7" s="1" t="s">
        <v>6</v>
      </c>
    </row>
    <row r="8" spans="1:9" x14ac:dyDescent="0.2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8</v>
      </c>
      <c r="G8" s="2" t="s">
        <v>9</v>
      </c>
      <c r="H8" s="2" t="s">
        <v>10</v>
      </c>
    </row>
    <row r="9" spans="1:9" x14ac:dyDescent="0.25">
      <c r="A9" s="3" t="s">
        <v>12</v>
      </c>
      <c r="B9" s="4">
        <v>234</v>
      </c>
      <c r="C9" s="4">
        <v>41</v>
      </c>
      <c r="D9" s="5">
        <v>0.17519999999999999</v>
      </c>
      <c r="E9" s="3" t="s">
        <v>13</v>
      </c>
      <c r="F9" s="4">
        <v>167</v>
      </c>
      <c r="G9" s="4">
        <v>46</v>
      </c>
      <c r="H9" s="5">
        <v>0.27539999999999998</v>
      </c>
    </row>
    <row r="10" spans="1:9" x14ac:dyDescent="0.25">
      <c r="A10" s="3" t="s">
        <v>14</v>
      </c>
      <c r="B10" s="4">
        <v>531</v>
      </c>
      <c r="C10" s="4">
        <v>74</v>
      </c>
      <c r="D10" s="5">
        <v>0.1394</v>
      </c>
      <c r="E10" s="3" t="s">
        <v>15</v>
      </c>
      <c r="F10" s="4">
        <v>204</v>
      </c>
      <c r="G10" s="4">
        <v>28</v>
      </c>
      <c r="H10" s="5">
        <v>0.13730000000000001</v>
      </c>
    </row>
    <row r="11" spans="1:9" x14ac:dyDescent="0.25">
      <c r="A11" s="3" t="s">
        <v>16</v>
      </c>
      <c r="B11" s="4">
        <v>37</v>
      </c>
      <c r="C11" s="4">
        <v>4</v>
      </c>
      <c r="D11" s="5">
        <v>0.1081</v>
      </c>
      <c r="E11" s="3" t="s">
        <v>17</v>
      </c>
      <c r="F11" s="4">
        <v>431</v>
      </c>
      <c r="G11" s="4">
        <v>45</v>
      </c>
      <c r="H11" s="5">
        <v>0.10440000000000001</v>
      </c>
    </row>
    <row r="12" spans="1:9" x14ac:dyDescent="0.25">
      <c r="A12" s="6" t="s">
        <v>18</v>
      </c>
      <c r="B12" s="7">
        <f>SUM(B9:B11)</f>
        <v>802</v>
      </c>
      <c r="C12" s="7">
        <f>SUM(C9:C11)</f>
        <v>119</v>
      </c>
      <c r="D12" s="8">
        <f>C12/B12</f>
        <v>0.14837905236907731</v>
      </c>
      <c r="E12" s="6" t="s">
        <v>18</v>
      </c>
      <c r="F12" s="7">
        <f>SUM(F9:F11)</f>
        <v>802</v>
      </c>
      <c r="G12" s="7">
        <f>SUM(G9:G11)</f>
        <v>119</v>
      </c>
      <c r="H12" s="8">
        <f>G12/F12</f>
        <v>0.14837905236907731</v>
      </c>
    </row>
    <row r="14" spans="1:9" ht="15.75" x14ac:dyDescent="0.25">
      <c r="A14" s="1" t="s">
        <v>19</v>
      </c>
      <c r="F14" s="1" t="s">
        <v>20</v>
      </c>
    </row>
    <row r="15" spans="1:9" ht="25.5" x14ac:dyDescent="0.25">
      <c r="A15" s="2" t="s">
        <v>21</v>
      </c>
      <c r="B15" s="2" t="s">
        <v>22</v>
      </c>
      <c r="C15" s="2" t="s">
        <v>23</v>
      </c>
      <c r="D15" s="2" t="s">
        <v>24</v>
      </c>
      <c r="F15" s="2" t="s">
        <v>25</v>
      </c>
      <c r="G15" s="2" t="s">
        <v>8</v>
      </c>
      <c r="H15" s="2" t="s">
        <v>26</v>
      </c>
    </row>
    <row r="16" spans="1:9" x14ac:dyDescent="0.25">
      <c r="A16" s="3" t="s">
        <v>27</v>
      </c>
      <c r="B16" s="4">
        <v>30</v>
      </c>
      <c r="C16" s="4">
        <v>13</v>
      </c>
      <c r="D16" s="5">
        <v>0.43330000000000002</v>
      </c>
      <c r="F16" s="3" t="s">
        <v>28</v>
      </c>
      <c r="G16" s="4">
        <v>683</v>
      </c>
      <c r="H16" s="9">
        <v>6799.95</v>
      </c>
    </row>
    <row r="17" spans="1:9" x14ac:dyDescent="0.25">
      <c r="A17" s="10" t="s">
        <v>29</v>
      </c>
      <c r="B17" s="11">
        <v>122</v>
      </c>
      <c r="C17" s="11">
        <v>32</v>
      </c>
      <c r="D17" s="12">
        <v>0.26229999999999998</v>
      </c>
      <c r="F17" s="3" t="s">
        <v>30</v>
      </c>
      <c r="G17" s="4">
        <v>119</v>
      </c>
      <c r="H17" s="9">
        <v>4935.32</v>
      </c>
    </row>
    <row r="18" spans="1:9" x14ac:dyDescent="0.25">
      <c r="A18" s="3" t="s">
        <v>31</v>
      </c>
      <c r="B18" s="4">
        <v>234</v>
      </c>
      <c r="C18" s="4">
        <v>36</v>
      </c>
      <c r="D18" s="5">
        <v>0.15379999999999999</v>
      </c>
    </row>
    <row r="19" spans="1:9" x14ac:dyDescent="0.25">
      <c r="A19" s="10" t="s">
        <v>32</v>
      </c>
      <c r="B19" s="11">
        <v>141</v>
      </c>
      <c r="C19" s="11">
        <v>19</v>
      </c>
      <c r="D19" s="12">
        <v>0.1348</v>
      </c>
      <c r="F19" s="13" t="s">
        <v>33</v>
      </c>
    </row>
    <row r="20" spans="1:9" x14ac:dyDescent="0.25">
      <c r="A20" s="3" t="s">
        <v>16</v>
      </c>
      <c r="B20" s="4">
        <v>31</v>
      </c>
      <c r="C20" s="4">
        <v>4</v>
      </c>
      <c r="D20" s="5">
        <v>0.129</v>
      </c>
      <c r="F20" s="21" t="s">
        <v>34</v>
      </c>
      <c r="G20" s="19"/>
      <c r="H20" s="19"/>
      <c r="I20" s="19"/>
    </row>
    <row r="21" spans="1:9" x14ac:dyDescent="0.25">
      <c r="A21" s="10" t="s">
        <v>35</v>
      </c>
      <c r="B21" s="11">
        <v>70</v>
      </c>
      <c r="C21" s="11">
        <v>8</v>
      </c>
      <c r="D21" s="12">
        <v>0.1143</v>
      </c>
      <c r="F21" s="19"/>
      <c r="G21" s="19"/>
      <c r="H21" s="19"/>
      <c r="I21" s="19"/>
    </row>
    <row r="22" spans="1:9" x14ac:dyDescent="0.25">
      <c r="A22" s="3" t="s">
        <v>36</v>
      </c>
      <c r="B22" s="4">
        <v>86</v>
      </c>
      <c r="C22" s="4">
        <v>5</v>
      </c>
      <c r="D22" s="5">
        <v>5.8099999999999999E-2</v>
      </c>
    </row>
    <row r="23" spans="1:9" x14ac:dyDescent="0.25">
      <c r="A23" s="10" t="s">
        <v>37</v>
      </c>
      <c r="B23" s="11">
        <v>54</v>
      </c>
      <c r="C23" s="11">
        <v>2</v>
      </c>
      <c r="D23" s="12">
        <v>3.6999999999999998E-2</v>
      </c>
    </row>
    <row r="24" spans="1:9" x14ac:dyDescent="0.25">
      <c r="A24" s="3" t="s">
        <v>38</v>
      </c>
      <c r="B24" s="4">
        <v>34</v>
      </c>
      <c r="C24" s="4">
        <v>0</v>
      </c>
      <c r="D24" s="5">
        <v>0</v>
      </c>
    </row>
    <row r="25" spans="1:9" x14ac:dyDescent="0.25">
      <c r="A25" s="6" t="s">
        <v>39</v>
      </c>
      <c r="B25" s="7">
        <f>SUM(B16:B24)</f>
        <v>802</v>
      </c>
      <c r="C25" s="7">
        <f>SUM(C16:C24)</f>
        <v>119</v>
      </c>
      <c r="D25" s="8">
        <f>C25/B25</f>
        <v>0.14837905236907731</v>
      </c>
    </row>
  </sheetData>
  <mergeCells count="10">
    <mergeCell ref="A1:I2"/>
    <mergeCell ref="G4:I4"/>
    <mergeCell ref="F20:I21"/>
    <mergeCell ref="C4:D4"/>
    <mergeCell ref="A4:B4"/>
    <mergeCell ref="E4:F4"/>
    <mergeCell ref="G5:I5"/>
    <mergeCell ref="C5:D5"/>
    <mergeCell ref="A5:B5"/>
    <mergeCell ref="E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 x14ac:dyDescent="0.25"/>
  <cols>
    <col min="1" max="1" width="28" customWidth="1"/>
    <col min="2" max="2" width="18" customWidth="1"/>
    <col min="3" max="4" width="25" customWidth="1"/>
  </cols>
  <sheetData>
    <row r="1" spans="1:4" x14ac:dyDescent="0.25">
      <c r="A1" t="s">
        <v>7</v>
      </c>
      <c r="B1" t="s">
        <v>40</v>
      </c>
      <c r="C1" t="s">
        <v>41</v>
      </c>
      <c r="D1" t="s">
        <v>42</v>
      </c>
    </row>
    <row r="2" spans="1:4" x14ac:dyDescent="0.25">
      <c r="A2" t="s">
        <v>12</v>
      </c>
      <c r="B2">
        <v>234</v>
      </c>
      <c r="C2">
        <v>41</v>
      </c>
      <c r="D2">
        <v>17.52</v>
      </c>
    </row>
    <row r="3" spans="1:4" x14ac:dyDescent="0.25">
      <c r="A3" t="s">
        <v>14</v>
      </c>
      <c r="B3">
        <v>531</v>
      </c>
      <c r="C3">
        <v>74</v>
      </c>
      <c r="D3">
        <v>13.94</v>
      </c>
    </row>
    <row r="4" spans="1:4" x14ac:dyDescent="0.25">
      <c r="A4" t="s">
        <v>16</v>
      </c>
      <c r="B4">
        <v>37</v>
      </c>
      <c r="C4">
        <v>4</v>
      </c>
      <c r="D4">
        <v>10.81</v>
      </c>
    </row>
    <row r="6" spans="1:4" x14ac:dyDescent="0.25">
      <c r="A6" t="s">
        <v>43</v>
      </c>
      <c r="B6" t="s">
        <v>40</v>
      </c>
      <c r="C6" t="s">
        <v>41</v>
      </c>
      <c r="D6" t="s">
        <v>42</v>
      </c>
    </row>
    <row r="7" spans="1:4" x14ac:dyDescent="0.25">
      <c r="A7" t="s">
        <v>27</v>
      </c>
      <c r="B7">
        <v>30</v>
      </c>
      <c r="C7">
        <v>13</v>
      </c>
      <c r="D7">
        <v>43.33</v>
      </c>
    </row>
    <row r="8" spans="1:4" x14ac:dyDescent="0.25">
      <c r="A8" t="s">
        <v>29</v>
      </c>
      <c r="B8">
        <v>122</v>
      </c>
      <c r="C8">
        <v>32</v>
      </c>
      <c r="D8">
        <v>26.23</v>
      </c>
    </row>
    <row r="9" spans="1:4" x14ac:dyDescent="0.25">
      <c r="A9" t="s">
        <v>31</v>
      </c>
      <c r="B9">
        <v>234</v>
      </c>
      <c r="C9">
        <v>36</v>
      </c>
      <c r="D9">
        <v>15.38</v>
      </c>
    </row>
    <row r="10" spans="1:4" x14ac:dyDescent="0.25">
      <c r="A10" t="s">
        <v>32</v>
      </c>
      <c r="B10">
        <v>141</v>
      </c>
      <c r="C10">
        <v>19</v>
      </c>
      <c r="D10">
        <v>13.48</v>
      </c>
    </row>
    <row r="11" spans="1:4" x14ac:dyDescent="0.25">
      <c r="A11" t="s">
        <v>16</v>
      </c>
      <c r="B11">
        <v>31</v>
      </c>
      <c r="C11">
        <v>4</v>
      </c>
      <c r="D11">
        <v>12.9</v>
      </c>
    </row>
    <row r="12" spans="1:4" x14ac:dyDescent="0.25">
      <c r="A12" t="s">
        <v>35</v>
      </c>
      <c r="B12">
        <v>70</v>
      </c>
      <c r="C12">
        <v>8</v>
      </c>
      <c r="D12">
        <v>11.43</v>
      </c>
    </row>
    <row r="13" spans="1:4" x14ac:dyDescent="0.25">
      <c r="A13" t="s">
        <v>36</v>
      </c>
      <c r="B13">
        <v>86</v>
      </c>
      <c r="C13">
        <v>5</v>
      </c>
      <c r="D13">
        <v>5.81</v>
      </c>
    </row>
    <row r="14" spans="1:4" x14ac:dyDescent="0.25">
      <c r="A14" t="s">
        <v>37</v>
      </c>
      <c r="B14">
        <v>54</v>
      </c>
      <c r="C14">
        <v>2</v>
      </c>
      <c r="D14">
        <v>3.7</v>
      </c>
    </row>
    <row r="15" spans="1:4" x14ac:dyDescent="0.25">
      <c r="A15" t="s">
        <v>38</v>
      </c>
      <c r="B15">
        <v>34</v>
      </c>
      <c r="C15">
        <v>0</v>
      </c>
      <c r="D15">
        <v>0</v>
      </c>
    </row>
    <row r="17" spans="1:4" x14ac:dyDescent="0.25">
      <c r="A17" t="s">
        <v>44</v>
      </c>
      <c r="B17" t="s">
        <v>40</v>
      </c>
      <c r="C17" t="s">
        <v>41</v>
      </c>
      <c r="D17" t="s">
        <v>42</v>
      </c>
    </row>
    <row r="18" spans="1:4" x14ac:dyDescent="0.25">
      <c r="A18" t="s">
        <v>13</v>
      </c>
      <c r="B18">
        <v>167</v>
      </c>
      <c r="C18">
        <v>46</v>
      </c>
      <c r="D18">
        <v>27.54</v>
      </c>
    </row>
    <row r="19" spans="1:4" x14ac:dyDescent="0.25">
      <c r="A19" t="s">
        <v>15</v>
      </c>
      <c r="B19">
        <v>204</v>
      </c>
      <c r="C19">
        <v>28</v>
      </c>
      <c r="D19">
        <v>13.73</v>
      </c>
    </row>
    <row r="20" spans="1:4" x14ac:dyDescent="0.25">
      <c r="A20" t="s">
        <v>17</v>
      </c>
      <c r="B20">
        <v>431</v>
      </c>
      <c r="C20">
        <v>45</v>
      </c>
      <c r="D20">
        <v>10.44</v>
      </c>
    </row>
    <row r="22" spans="1:4" x14ac:dyDescent="0.25">
      <c r="A22" t="s">
        <v>45</v>
      </c>
      <c r="B22" t="s">
        <v>46</v>
      </c>
      <c r="C22" t="s">
        <v>47</v>
      </c>
    </row>
    <row r="23" spans="1:4" x14ac:dyDescent="0.25">
      <c r="A23" t="s">
        <v>48</v>
      </c>
      <c r="B23">
        <v>683</v>
      </c>
      <c r="C23">
        <v>6799.95</v>
      </c>
    </row>
    <row r="24" spans="1:4" x14ac:dyDescent="0.25">
      <c r="A24" t="s">
        <v>49</v>
      </c>
      <c r="B24">
        <v>119</v>
      </c>
      <c r="C24">
        <v>4935.32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Cleaned_Metrics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2026-09-11T14:28:00Z</dcterms:created>
  <dcterms:modified xsi:type="dcterms:W3CDTF">2026-09-11T14:30:30Z</dcterms:modified>
</cp:coreProperties>
</file>